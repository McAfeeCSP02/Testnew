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0"/>
  <workbookPr/>
  <mc:AlternateContent xmlns:mc="http://schemas.openxmlformats.org/markup-compatibility/2006">
    <mc:Choice Requires="x15">
      <x15ac:absPath xmlns:x15ac="http://schemas.microsoft.com/office/spreadsheetml/2010/11/ac" url="https://benisontech.sharepoint.com/sites/AEG/Shared Documents/AEG Delivery Folders/LiveAction/TimeSheets/"/>
    </mc:Choice>
  </mc:AlternateContent>
  <xr:revisionPtr revIDLastSave="0" documentId="8_{9903EC91-C59E-4E92-8596-6FF2DA349332}" xr6:coauthVersionLast="47" xr6:coauthVersionMax="47" xr10:uidLastSave="{00000000-0000-0000-0000-000000000000}"/>
  <bookViews>
    <workbookView xWindow="-110" yWindow="-110" windowWidth="19420" windowHeight="10300" firstSheet="2" activeTab="2" xr2:uid="{00000000-000D-0000-FFFF-FFFF00000000}"/>
  </bookViews>
  <sheets>
    <sheet name="Mar2026" sheetId="8" r:id="rId1"/>
    <sheet name="Apr2026" sheetId="9" r:id="rId2"/>
    <sheet name="May2026"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0" l="1"/>
  <c r="C5" i="10"/>
  <c r="C4" i="10"/>
  <c r="C6" i="9"/>
  <c r="C5" i="9"/>
  <c r="C4" i="9"/>
  <c r="C3" i="9" s="1"/>
  <c r="C4" i="8"/>
  <c r="C6" i="8"/>
  <c r="C5" i="8"/>
</calcChain>
</file>

<file path=xl/sharedStrings.xml><?xml version="1.0" encoding="utf-8"?>
<sst xmlns="http://schemas.openxmlformats.org/spreadsheetml/2006/main" count="276" uniqueCount="122">
  <si>
    <t> Mar 2026 Attendance Sheet For  Rajesh Jonnagaddla</t>
  </si>
  <si>
    <t>Working days in month</t>
  </si>
  <si>
    <t>No of days in present</t>
  </si>
  <si>
    <t>No of days in absent</t>
  </si>
  <si>
    <t>Holidays</t>
  </si>
  <si>
    <t>Project Name:</t>
  </si>
  <si>
    <t>Skyhigh</t>
  </si>
  <si>
    <t>Name</t>
  </si>
  <si>
    <t>Rajesh Jonnagaddla</t>
  </si>
  <si>
    <r>
      <rPr>
        <b/>
        <sz val="10"/>
        <color rgb="FFFFFFFF"/>
        <rFont val="Arial"/>
      </rPr>
      <t>Day</t>
    </r>
  </si>
  <si>
    <r>
      <rPr>
        <b/>
        <sz val="10"/>
        <color rgb="FFFFFFFF"/>
        <rFont val="Arial"/>
      </rPr>
      <t>Date</t>
    </r>
  </si>
  <si>
    <t>WFH/WFO/PTO/Holiday</t>
  </si>
  <si>
    <t>Work Done -Please specify the Work</t>
  </si>
  <si>
    <t>Sunday</t>
  </si>
  <si>
    <t>1st Mar 2026</t>
  </si>
  <si>
    <t>Monday</t>
  </si>
  <si>
    <t>2nd Mar 2026</t>
  </si>
  <si>
    <t>Tuesday</t>
  </si>
  <si>
    <t>3rd Mar 2026</t>
  </si>
  <si>
    <t>Wednesday</t>
  </si>
  <si>
    <t>4th Mar 2026</t>
  </si>
  <si>
    <t>Thursday</t>
  </si>
  <si>
    <t>5th Mar 2026</t>
  </si>
  <si>
    <t>Friday</t>
  </si>
  <si>
    <t>6th Mar 2026</t>
  </si>
  <si>
    <t>Saturday</t>
  </si>
  <si>
    <t>7th Mar 2026</t>
  </si>
  <si>
    <t>8th Mar 2026</t>
  </si>
  <si>
    <t>9th Mar 2026</t>
  </si>
  <si>
    <t>10th Mar 2026</t>
  </si>
  <si>
    <t>11th Mar 2026</t>
  </si>
  <si>
    <t>12th Mar 2026</t>
  </si>
  <si>
    <t>13th Mar 2026</t>
  </si>
  <si>
    <t>14th Mar 2026</t>
  </si>
  <si>
    <t>15th Mar 2026</t>
  </si>
  <si>
    <t>16th Mar 2026</t>
  </si>
  <si>
    <t>17th Mar 2026</t>
  </si>
  <si>
    <t>18th Mar 2026</t>
  </si>
  <si>
    <t>19th Mar 2026</t>
  </si>
  <si>
    <t>20th Mar 2026</t>
  </si>
  <si>
    <t>21st Mar 2026</t>
  </si>
  <si>
    <t>22nd Mar 2026</t>
  </si>
  <si>
    <t>23rd Mar 2026</t>
  </si>
  <si>
    <t>24th Mar 2026</t>
  </si>
  <si>
    <t>WFO</t>
  </si>
  <si>
    <t>First day client office and laptop collection</t>
  </si>
  <si>
    <t>25th Mar 2026</t>
  </si>
  <si>
    <t>WFH</t>
  </si>
  <si>
    <t>Requested access for Jira, Jenkins, Wkipedia, confluence;  and requested access for training videos</t>
  </si>
  <si>
    <t>26th Mar 2026</t>
  </si>
  <si>
    <t>Received access to videos, started going through videos.</t>
  </si>
  <si>
    <t>27th Mar 2026</t>
  </si>
  <si>
    <t>Completed some concepts such as on ODS and NRT and got clarification on some doubts with mentor</t>
  </si>
  <si>
    <t>28th Mar 2026</t>
  </si>
  <si>
    <t>Weekend</t>
  </si>
  <si>
    <t>29th Mar 2026</t>
  </si>
  <si>
    <t>30th Mar 2026</t>
  </si>
  <si>
    <t>implemented manually in the tenant dashboard for ODS and NRT and got clarification on some doubts with mentor</t>
  </si>
  <si>
    <t>31st Mar 2026</t>
  </si>
  <si>
    <t>Tenant Dashboard training video Understanding</t>
  </si>
  <si>
    <t>Apr 2026 Attendance Sheet For  Rajesh Jonnagaddla</t>
  </si>
  <si>
    <t>1st Apr 2026</t>
  </si>
  <si>
    <t>tenant dashboard exploring and manual trials(1/2)</t>
  </si>
  <si>
    <t>2nd Apr 2026</t>
  </si>
  <si>
    <t>readying Local setup for automation</t>
  </si>
  <si>
    <t>3rd Apr 2026</t>
  </si>
  <si>
    <t>Holiday</t>
  </si>
  <si>
    <t>4th Apr 2026</t>
  </si>
  <si>
    <t>5th Apr 2026</t>
  </si>
  <si>
    <t>6th Apr 2026</t>
  </si>
  <si>
    <t>tenant dashboard exploring and manual trials(2/2)</t>
  </si>
  <si>
    <t>7th Apr 2026</t>
  </si>
  <si>
    <t>Worked on Pending access and pending training videos</t>
  </si>
  <si>
    <t>8th Apr 2026</t>
  </si>
  <si>
    <t>Box CSP Manual test to understand the flow(1/3)</t>
  </si>
  <si>
    <t>9th Apr 2026</t>
  </si>
  <si>
    <t>Box CSP Manual test to understand the flow(2/3)</t>
  </si>
  <si>
    <t>10th Apr 2026</t>
  </si>
  <si>
    <t>Understanding test harness, open source and other left over training</t>
  </si>
  <si>
    <t>11th Apr 2026</t>
  </si>
  <si>
    <t>12th Apr 2026</t>
  </si>
  <si>
    <t>13th Apr 2026</t>
  </si>
  <si>
    <t>Box CSP Manual test to understand the flow(3/3)</t>
  </si>
  <si>
    <t>14th Apr 2026</t>
  </si>
  <si>
    <t>Box CSP Jenkins stabilization job pickup and started running them from the Local setup and started RCS on the failures</t>
  </si>
  <si>
    <t>15th Apr 2026</t>
  </si>
  <si>
    <t xml:space="preserve"> OF- 40352 -started working on the task(10 failures from BOX CSP)</t>
  </si>
  <si>
    <t>16th Apr 2026</t>
  </si>
  <si>
    <t>Assigned with 5 task tickets for thew SKYhooks, Skyhooks understanding and also enabling api for the CPS isntances and also getting info about the SKYhooks from sudhamini</t>
  </si>
  <si>
    <t>17th Apr 2026</t>
  </si>
  <si>
    <t>Some progress on the TASK(OF- 40352) 6 passed and 4 are left now. Sky hooks is a blocker so only working on one task will start with the rest 5 task once skyhooks blcoker gets cleared</t>
  </si>
  <si>
    <t>18th Apr 2026</t>
  </si>
  <si>
    <t>19th Apr 2026</t>
  </si>
  <si>
    <t>20th Apr 2026</t>
  </si>
  <si>
    <t>started working on priority task - OF-40154, Since the validation is blocked, explored slack use cases</t>
  </si>
  <si>
    <t>21st Apr 2026</t>
  </si>
  <si>
    <t>OF-40154, validation is still blcoked due to enviroment and the network issue</t>
  </si>
  <si>
    <t>22nd Apr 2026</t>
  </si>
  <si>
    <t>OF-40154 - started readying for the validation and 60 percent of the task is finished</t>
  </si>
  <si>
    <t>23rd Apr 2026</t>
  </si>
  <si>
    <t>OF-40154 - finished and closed the task, taking up another task now</t>
  </si>
  <si>
    <t>24th Apr 2026</t>
  </si>
  <si>
    <t>OF-42173 - special task  where asked for validations on the microsoft onedrive. completed and closed the task</t>
  </si>
  <si>
    <t>25th Apr 2026</t>
  </si>
  <si>
    <t>26th Apr 2026</t>
  </si>
  <si>
    <t>27th Apr 2026</t>
  </si>
  <si>
    <t>PTO</t>
  </si>
  <si>
    <t>Sick Leave</t>
  </si>
  <si>
    <t>28th Apr 2026</t>
  </si>
  <si>
    <t>OF-40157 - started validation the git hub on skyhooksV2 and found rate limit issue so picked other task as per advice.   OF-40152 started to work on this task, setup is completed and ready for validations</t>
  </si>
  <si>
    <t>29th Apr 2026</t>
  </si>
  <si>
    <t xml:space="preserve">OF-40152 - got some issue due to the webhooks url issue, fixed it and meanwhile QAT env is not opening facing some issue, so this ticket is blcoked for now
</t>
  </si>
  <si>
    <t>30th Apr 2026</t>
  </si>
  <si>
    <t>started working on the Jenkins RCA Failures, fixed 3 out of 9 and got the issue  for the other 2 as well, trying it fix them</t>
  </si>
  <si>
    <t> May 2026 Attendance Sheet For  Rajesh</t>
  </si>
  <si>
    <t xml:space="preserve">Rajesh </t>
  </si>
  <si>
    <t>OF-40152 - successfully validated the jira csp for sky hooks validations</t>
  </si>
  <si>
    <t>mostly worked on the environtment issues, deploying the builds from the harness and also understanding the failures from the ekg nodes and worked on the couple fo the sky hooks setup</t>
  </si>
  <si>
    <t xml:space="preserve">OF-43093 - understanding of the HF ticket and also </t>
  </si>
  <si>
    <t>OF-40153 - successfully validated this ticket and comeplete the skyhoos testing for confluence csp</t>
  </si>
  <si>
    <t>OF-40157 - spent some time working on this and blocked ones the events are not flowing in for the shndlpapp</t>
  </si>
  <si>
    <t>OF-43093 - validated this ticket successfully and updated the dev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</si>
</sst>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Red]0.00"/>
    <numFmt numFmtId="166" formatCode="0;[Red]0"/>
  </numFmts>
  <fonts count="8">
    <font>
      <sz val="10"/>
      <color rgb="FF000000"/>
      <name val="Times New Roman"/>
      <charset val="204"/>
    </font>
    <font>
      <sz val="10"/>
      <color rgb="FF000000"/>
      <name val="Arial"/>
    </font>
    <font>
      <b/>
      <sz val="10"/>
      <color rgb="FF000000"/>
      <name val="Arial"/>
    </font>
    <font>
      <b/>
      <sz val="10"/>
      <name val="Arial"/>
    </font>
    <font>
      <b/>
      <sz val="10"/>
      <color rgb="FF444444"/>
      <name val="Arial"/>
    </font>
    <font>
      <b/>
      <sz val="10"/>
      <color rgb="FFFFFFFF"/>
      <name val="Arial"/>
    </font>
    <font>
      <b/>
      <sz val="10"/>
      <color rgb="FF4F6128"/>
      <name val="Arial"/>
    </font>
    <font>
      <sz val="10"/>
      <color rgb="FF292D34"/>
      <name val="Arial"/>
    </font>
  </fonts>
  <fills count="9">
    <fill>
      <patternFill patternType="none"/>
    </fill>
    <fill>
      <patternFill patternType="gray125"/>
    </fill>
    <fill>
      <patternFill patternType="solid">
        <fgColor rgb="FF4F6128"/>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FF"/>
        <bgColor rgb="FF000000"/>
      </patternFill>
    </fill>
    <fill>
      <patternFill patternType="solid">
        <fgColor theme="0"/>
        <bgColor indexed="64"/>
      </patternFill>
    </fill>
    <fill>
      <patternFill patternType="solid">
        <fgColor rgb="FFD9D9D9"/>
        <bgColor rgb="FF000000"/>
      </patternFill>
    </fill>
    <fill>
      <patternFill patternType="solid">
        <fgColor rgb="FFC1F0C8"/>
        <bgColor rgb="FF000000"/>
      </patternFill>
    </fill>
  </fills>
  <borders count="1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rgb="FF000000"/>
      </top>
      <bottom/>
      <diagonal/>
    </border>
  </borders>
  <cellStyleXfs count="1">
    <xf numFmtId="0" fontId="0" fillId="0" borderId="0"/>
  </cellStyleXfs>
  <cellXfs count="37">
    <xf numFmtId="0" fontId="0" fillId="0" borderId="0" xfId="0" applyAlignment="1">
      <alignment horizontal="left" vertical="top"/>
    </xf>
    <xf numFmtId="0" fontId="1" fillId="0" borderId="0" xfId="0" applyFont="1" applyAlignment="1">
      <alignment horizontal="center" vertical="center"/>
    </xf>
    <xf numFmtId="0" fontId="1" fillId="0" borderId="4" xfId="0" applyFont="1" applyBorder="1" applyAlignment="1">
      <alignment horizontal="left" vertical="top" wrapText="1"/>
    </xf>
    <xf numFmtId="0" fontId="1" fillId="5" borderId="0" xfId="0" applyFont="1" applyFill="1" applyAlignment="1">
      <alignment horizontal="left" vertical="top"/>
    </xf>
    <xf numFmtId="0" fontId="2" fillId="6" borderId="0" xfId="0" applyFont="1" applyFill="1" applyAlignment="1">
      <alignment horizontal="left" vertical="top"/>
    </xf>
    <xf numFmtId="0" fontId="2" fillId="7" borderId="4" xfId="0" applyFont="1" applyFill="1" applyBorder="1" applyAlignment="1">
      <alignment horizontal="left" vertical="top"/>
    </xf>
    <xf numFmtId="0" fontId="2" fillId="8" borderId="4" xfId="0" applyFont="1" applyFill="1" applyBorder="1" applyAlignment="1">
      <alignment horizontal="left" vertical="top"/>
    </xf>
    <xf numFmtId="0" fontId="3" fillId="3" borderId="5" xfId="0" applyFont="1" applyFill="1" applyBorder="1" applyAlignment="1">
      <alignment horizontal="center" vertical="center" wrapText="1"/>
    </xf>
    <xf numFmtId="164" fontId="4" fillId="3" borderId="6" xfId="0" applyNumberFormat="1" applyFont="1" applyFill="1" applyBorder="1" applyAlignment="1">
      <alignment horizontal="center" vertical="center" shrinkToFit="1"/>
    </xf>
    <xf numFmtId="164" fontId="2" fillId="3" borderId="7" xfId="0" applyNumberFormat="1" applyFont="1" applyFill="1" applyBorder="1" applyAlignment="1">
      <alignment horizontal="center" vertical="center" shrinkToFit="1"/>
    </xf>
    <xf numFmtId="164" fontId="2" fillId="3" borderId="8" xfId="0" quotePrefix="1" applyNumberFormat="1" applyFont="1" applyFill="1" applyBorder="1" applyAlignment="1">
      <alignment horizontal="center" vertical="center" shrinkToFi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6" fillId="0" borderId="4" xfId="0" applyFont="1" applyBorder="1" applyAlignment="1">
      <alignment horizontal="center" vertical="center" wrapText="1"/>
    </xf>
    <xf numFmtId="164" fontId="1" fillId="0" borderId="4" xfId="0" applyNumberFormat="1" applyFont="1" applyBorder="1" applyAlignment="1">
      <alignment horizontal="center" vertical="center" shrinkToFit="1"/>
    </xf>
    <xf numFmtId="165" fontId="7"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166" fontId="2" fillId="8" borderId="4" xfId="0" applyNumberFormat="1" applyFont="1" applyFill="1" applyBorder="1" applyAlignment="1">
      <alignment horizontal="left" vertical="top"/>
    </xf>
    <xf numFmtId="0" fontId="2" fillId="6" borderId="0" xfId="0" applyFont="1" applyFill="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center" wrapText="1"/>
    </xf>
    <xf numFmtId="164" fontId="2" fillId="3" borderId="8" xfId="0" quotePrefix="1" applyNumberFormat="1" applyFont="1" applyFill="1" applyBorder="1" applyAlignment="1">
      <alignment horizontal="left" vertical="center" wrapText="1" shrinkToFit="1"/>
    </xf>
    <xf numFmtId="0" fontId="5" fillId="2" borderId="11" xfId="0" applyFont="1" applyFill="1" applyBorder="1" applyAlignment="1">
      <alignment horizontal="left" vertical="center" wrapText="1"/>
    </xf>
    <xf numFmtId="0" fontId="1" fillId="0" borderId="0" xfId="0" applyFont="1" applyAlignment="1">
      <alignment horizontal="center" vertical="center" wrapText="1"/>
    </xf>
    <xf numFmtId="166" fontId="0" fillId="8" borderId="4" xfId="0" applyNumberFormat="1" applyFill="1" applyBorder="1" applyAlignment="1">
      <alignment horizontal="left" vertical="top" wrapText="1"/>
    </xf>
    <xf numFmtId="0" fontId="0" fillId="8" borderId="4" xfId="0" applyFill="1" applyBorder="1" applyAlignment="1">
      <alignment horizontal="left" vertical="top"/>
    </xf>
    <xf numFmtId="164" fontId="2" fillId="3" borderId="8" xfId="0" quotePrefix="1" applyNumberFormat="1" applyFont="1" applyFill="1" applyBorder="1" applyAlignment="1">
      <alignment horizontal="center" vertical="center" wrapText="1" shrinkToFit="1"/>
    </xf>
    <xf numFmtId="0" fontId="1" fillId="0" borderId="4" xfId="0" applyFont="1" applyBorder="1" applyAlignment="1">
      <alignment horizontal="left" vertical="center" wrapText="1"/>
    </xf>
    <xf numFmtId="0" fontId="1" fillId="0" borderId="12" xfId="0" applyFont="1" applyBorder="1" applyAlignment="1">
      <alignment horizontal="center" vertical="center"/>
    </xf>
    <xf numFmtId="165" fontId="7" fillId="0" borderId="12"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4" xfId="0" applyFont="1" applyBorder="1" applyAlignment="1">
      <alignment horizontal="center" vertical="top" wrapText="1"/>
    </xf>
    <xf numFmtId="0" fontId="2" fillId="4" borderId="1" xfId="0" applyFont="1" applyFill="1" applyBorder="1" applyAlignment="1">
      <alignment horizontal="center" vertical="top"/>
    </xf>
    <xf numFmtId="0" fontId="2" fillId="4" borderId="2" xfId="0" applyFont="1" applyFill="1" applyBorder="1" applyAlignment="1">
      <alignment horizontal="center" vertical="top"/>
    </xf>
    <xf numFmtId="0" fontId="2" fillId="4" borderId="3" xfId="0" applyFont="1" applyFill="1" applyBorder="1" applyAlignment="1">
      <alignment horizontal="center" vertical="top"/>
    </xf>
  </cellXfs>
  <cellStyles count="1">
    <cellStyle name="Normal" xfId="0" builtinId="0"/>
  </cellStyles>
  <dxfs count="18">
    <dxf>
      <font>
        <sz val="10"/>
        <name val="Arial"/>
      </font>
      <fill>
        <patternFill patternType="none">
          <bgColor rgb="FFDCE6F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92D34"/>
        <name val="Arial"/>
        <scheme val="none"/>
      </font>
      <numFmt numFmtId="165" formatCode="0.00;[Red]0.00"/>
      <fill>
        <patternFill patternType="none">
          <fgColor indexed="64"/>
          <bgColor rgb="FFFAFBFC"/>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u val="none"/>
        <sz val="10"/>
        <color auto="1"/>
        <name val="Arial"/>
        <scheme val="none"/>
      </font>
      <fill>
        <patternFill patternType="none">
          <bgColor rgb="FF4F612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dxf>
    <dxf>
      <font>
        <sz val="10"/>
        <name val="Arial"/>
      </font>
      <alignment horizontal="center" vertical="center"/>
    </dxf>
    <dxf>
      <font>
        <sz val="10"/>
        <name val="Arial"/>
      </font>
      <fill>
        <patternFill patternType="none">
          <bgColor rgb="FFDCE6F0"/>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92D34"/>
        <name val="Arial"/>
        <scheme val="none"/>
      </font>
      <numFmt numFmtId="165" formatCode="0.00;[Red]0.00"/>
      <fill>
        <patternFill patternType="none">
          <fgColor indexed="64"/>
          <bgColor rgb="FFFAFBFC"/>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u val="none"/>
        <sz val="10"/>
        <color auto="1"/>
        <name val="Arial"/>
        <scheme val="none"/>
      </font>
      <fill>
        <patternFill patternType="none">
          <bgColor rgb="FF4F612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dxf>
    <dxf>
      <font>
        <sz val="10"/>
        <name val="Arial"/>
      </font>
      <alignment horizontal="center" vertical="center"/>
    </dxf>
    <dxf>
      <font>
        <sz val="10"/>
        <name val="Arial"/>
      </font>
      <fill>
        <patternFill patternType="none">
          <bgColor rgb="FFDCE6F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292D34"/>
        <name val="Arial"/>
        <scheme val="none"/>
      </font>
      <numFmt numFmtId="165" formatCode="0.00;[Red]0.00"/>
      <fill>
        <patternFill patternType="none">
          <fgColor indexed="64"/>
          <bgColor rgb="FFFAFBFC"/>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u val="none"/>
        <sz val="10"/>
        <color auto="1"/>
        <name val="Arial"/>
        <scheme val="none"/>
      </font>
      <fill>
        <patternFill patternType="none">
          <bgColor rgb="FF4F6128"/>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Arial"/>
      </font>
      <fill>
        <patternFill patternType="none"/>
      </fill>
      <alignment horizontal="center" vertical="center"/>
    </dxf>
    <dxf>
      <font>
        <sz val="10"/>
        <name val="Arial"/>
      </font>
      <alignment horizontal="center"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F64CA5-EC23-42F5-AED8-1ED06FE6BD95}" name="Table15232" displayName="Table15232" ref="A9:D40" totalsRowShown="0" headerRowDxfId="17" dataDxfId="16">
  <tableColumns count="4">
    <tableColumn id="1" xr3:uid="{871E4304-B971-4DF2-8619-E68F76FDDF34}" name="Day" dataDxfId="15"/>
    <tableColumn id="2" xr3:uid="{BACAC3A7-FF9C-40A2-80B3-4A32ABE89C4D}" name="Date" dataDxfId="14"/>
    <tableColumn id="9" xr3:uid="{D1ADC78A-4F5D-4759-B16A-4113F24C34C4}" name="WFH/WFO/PTO/Holiday" dataDxfId="13"/>
    <tableColumn id="6" xr3:uid="{CBFD845E-C1FB-41EC-A246-9941D51F6E3F}" name="Work Done -Please specify the Work" dataDxf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EBFE7-6187-4972-8A85-BA9DCC516591}" name="Table152323" displayName="Table152323" ref="A9:D39" totalsRowShown="0" headerRowDxfId="11" dataDxfId="10">
  <tableColumns count="4">
    <tableColumn id="1" xr3:uid="{5CE2240F-93AB-46F7-930B-576D2FB36C0A}" name="Day" dataDxfId="9"/>
    <tableColumn id="2" xr3:uid="{F7E9F854-AE48-47ED-9B88-C3FC3764BA9D}" name="Date" dataDxfId="8"/>
    <tableColumn id="9" xr3:uid="{3BA0D709-5540-4465-906A-FF7FAFA9BBE1}" name="WFH/WFO/PTO/Holiday" dataDxfId="7"/>
    <tableColumn id="6" xr3:uid="{BA303FB3-FDFD-4D17-B19A-F4B12A4FF758}" name="Work Done -Please specify the Work"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3FC2EB-F9A4-4E8D-A267-517F52302E0E}" name="Table152324" displayName="Table152324" ref="A9:D42" totalsRowShown="0" headerRowDxfId="5" dataDxfId="4">
  <tableColumns count="4">
    <tableColumn id="1" xr3:uid="{3C7316A8-FD94-4CD9-A99A-9E92D1A357F1}" name="Day" dataDxfId="3"/>
    <tableColumn id="2" xr3:uid="{612395BD-5974-412E-9F5D-7D46D4E566E6}" name="Date" dataDxfId="2"/>
    <tableColumn id="9" xr3:uid="{B701285A-2200-4395-B811-CFEB857FD85C}" name="WFH/WFO/PTO/Holiday" dataDxfId="1"/>
    <tableColumn id="6" xr3:uid="{C3BDD9A9-591F-46BE-91C7-EFBCCEC22105}" name="Work Done -Please specify the Work"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0AEC-20CC-45CB-8A31-5F3C95703219}">
  <dimension ref="A1:D44"/>
  <sheetViews>
    <sheetView topLeftCell="A17" workbookViewId="0">
      <selection activeCell="D40" sqref="D40"/>
    </sheetView>
  </sheetViews>
  <sheetFormatPr defaultRowHeight="12.75"/>
  <cols>
    <col min="1" max="1" width="20.6640625" customWidth="1"/>
    <col min="2" max="2" width="28.83203125" customWidth="1"/>
    <col min="3" max="3" width="35.5" customWidth="1"/>
    <col min="4" max="4" width="85.1640625" customWidth="1"/>
  </cols>
  <sheetData>
    <row r="1" spans="1:4">
      <c r="A1" s="34" t="s">
        <v>0</v>
      </c>
      <c r="B1" s="35"/>
      <c r="C1" s="35"/>
      <c r="D1" s="36"/>
    </row>
    <row r="2" spans="1:4">
      <c r="A2" s="3"/>
      <c r="B2" s="4"/>
      <c r="C2" s="4"/>
      <c r="D2" s="4"/>
    </row>
    <row r="3" spans="1:4">
      <c r="A3" s="1"/>
      <c r="B3" s="5" t="s">
        <v>1</v>
      </c>
      <c r="C3" s="6">
        <v>6</v>
      </c>
      <c r="D3" s="1"/>
    </row>
    <row r="4" spans="1:4">
      <c r="A4" s="1"/>
      <c r="B4" s="5" t="s">
        <v>2</v>
      </c>
      <c r="C4" s="19">
        <f>COUNTIF(C10:C40,"WFH")
+ COUNTIF(C10:C40,"WFO")
+ COUNTIF(C10:C40,"Half day WFO")*0.5
+ COUNTIF(C10:C40,"Half day WFH")*0.5</f>
        <v>6</v>
      </c>
      <c r="D4" s="1"/>
    </row>
    <row r="5" spans="1:4">
      <c r="A5" s="1"/>
      <c r="B5" s="5" t="s">
        <v>3</v>
      </c>
      <c r="C5" s="6">
        <f>COUNTIF(C10:C37,"PTO")
+ COUNTIF(C10:C37,"Half day WFO")*0.5
+ COUNTIF(C10:C37,"Half day WFH")*0.5</f>
        <v>0</v>
      </c>
      <c r="D5" s="1"/>
    </row>
    <row r="6" spans="1:4">
      <c r="A6" s="1"/>
      <c r="B6" s="5" t="s">
        <v>4</v>
      </c>
      <c r="C6" s="6">
        <f>COUNTIF($C10:$C34,"Holiday")</f>
        <v>0</v>
      </c>
      <c r="D6" s="1"/>
    </row>
    <row r="7" spans="1:4">
      <c r="A7" s="1"/>
      <c r="B7" s="1"/>
      <c r="C7" s="1"/>
      <c r="D7" s="1"/>
    </row>
    <row r="8" spans="1:4">
      <c r="A8" s="7" t="s">
        <v>5</v>
      </c>
      <c r="B8" s="8" t="s">
        <v>6</v>
      </c>
      <c r="C8" s="9" t="s">
        <v>7</v>
      </c>
      <c r="D8" s="10" t="s">
        <v>8</v>
      </c>
    </row>
    <row r="9" spans="1:4">
      <c r="A9" s="11" t="s">
        <v>9</v>
      </c>
      <c r="B9" s="12" t="s">
        <v>10</v>
      </c>
      <c r="C9" s="13" t="s">
        <v>11</v>
      </c>
      <c r="D9" s="14" t="s">
        <v>12</v>
      </c>
    </row>
    <row r="10" spans="1:4">
      <c r="A10" s="15" t="s">
        <v>13</v>
      </c>
      <c r="B10" s="16" t="s">
        <v>14</v>
      </c>
      <c r="C10" s="17"/>
      <c r="D10" s="2"/>
    </row>
    <row r="11" spans="1:4">
      <c r="A11" s="15" t="s">
        <v>15</v>
      </c>
      <c r="B11" s="16" t="s">
        <v>16</v>
      </c>
      <c r="C11" s="17"/>
      <c r="D11" s="2"/>
    </row>
    <row r="12" spans="1:4">
      <c r="A12" s="15" t="s">
        <v>17</v>
      </c>
      <c r="B12" s="16" t="s">
        <v>18</v>
      </c>
      <c r="C12" s="17"/>
      <c r="D12" s="2"/>
    </row>
    <row r="13" spans="1:4">
      <c r="A13" s="15" t="s">
        <v>19</v>
      </c>
      <c r="B13" s="16" t="s">
        <v>20</v>
      </c>
      <c r="C13" s="17"/>
      <c r="D13" s="2"/>
    </row>
    <row r="14" spans="1:4">
      <c r="A14" s="15" t="s">
        <v>21</v>
      </c>
      <c r="B14" s="16" t="s">
        <v>22</v>
      </c>
      <c r="C14" s="17"/>
      <c r="D14" s="2"/>
    </row>
    <row r="15" spans="1:4">
      <c r="A15" s="15" t="s">
        <v>23</v>
      </c>
      <c r="B15" s="16" t="s">
        <v>24</v>
      </c>
      <c r="C15" s="17"/>
      <c r="D15" s="2"/>
    </row>
    <row r="16" spans="1:4">
      <c r="A16" s="15" t="s">
        <v>25</v>
      </c>
      <c r="B16" s="16" t="s">
        <v>26</v>
      </c>
      <c r="C16" s="17"/>
      <c r="D16" s="2"/>
    </row>
    <row r="17" spans="1:4">
      <c r="A17" s="15" t="s">
        <v>13</v>
      </c>
      <c r="B17" s="16" t="s">
        <v>27</v>
      </c>
      <c r="C17" s="17"/>
      <c r="D17" s="2"/>
    </row>
    <row r="18" spans="1:4">
      <c r="A18" s="15" t="s">
        <v>15</v>
      </c>
      <c r="B18" s="16" t="s">
        <v>28</v>
      </c>
      <c r="C18" s="17"/>
      <c r="D18" s="2"/>
    </row>
    <row r="19" spans="1:4">
      <c r="A19" s="15" t="s">
        <v>17</v>
      </c>
      <c r="B19" s="16" t="s">
        <v>29</v>
      </c>
      <c r="C19" s="17"/>
      <c r="D19" s="2"/>
    </row>
    <row r="20" spans="1:4">
      <c r="A20" s="15" t="s">
        <v>19</v>
      </c>
      <c r="B20" s="16" t="s">
        <v>30</v>
      </c>
      <c r="C20" s="17"/>
      <c r="D20" s="2"/>
    </row>
    <row r="21" spans="1:4">
      <c r="A21" s="15" t="s">
        <v>21</v>
      </c>
      <c r="B21" s="16" t="s">
        <v>31</v>
      </c>
      <c r="C21" s="17"/>
      <c r="D21" s="2"/>
    </row>
    <row r="22" spans="1:4">
      <c r="A22" s="15" t="s">
        <v>23</v>
      </c>
      <c r="B22" s="16" t="s">
        <v>32</v>
      </c>
      <c r="C22" s="17"/>
      <c r="D22" s="2"/>
    </row>
    <row r="23" spans="1:4">
      <c r="A23" s="15" t="s">
        <v>25</v>
      </c>
      <c r="B23" s="16" t="s">
        <v>33</v>
      </c>
      <c r="C23" s="17"/>
      <c r="D23" s="2"/>
    </row>
    <row r="24" spans="1:4">
      <c r="A24" s="15" t="s">
        <v>13</v>
      </c>
      <c r="B24" s="16" t="s">
        <v>34</v>
      </c>
      <c r="C24" s="17"/>
      <c r="D24" s="2"/>
    </row>
    <row r="25" spans="1:4">
      <c r="A25" s="15" t="s">
        <v>15</v>
      </c>
      <c r="B25" s="16" t="s">
        <v>35</v>
      </c>
      <c r="C25" s="17"/>
      <c r="D25" s="2"/>
    </row>
    <row r="26" spans="1:4">
      <c r="A26" s="15" t="s">
        <v>17</v>
      </c>
      <c r="B26" s="16" t="s">
        <v>36</v>
      </c>
      <c r="C26" s="17"/>
      <c r="D26" s="2"/>
    </row>
    <row r="27" spans="1:4">
      <c r="A27" s="15" t="s">
        <v>19</v>
      </c>
      <c r="B27" s="16" t="s">
        <v>37</v>
      </c>
      <c r="C27" s="17"/>
      <c r="D27" s="2"/>
    </row>
    <row r="28" spans="1:4">
      <c r="A28" s="15" t="s">
        <v>21</v>
      </c>
      <c r="B28" s="16" t="s">
        <v>38</v>
      </c>
      <c r="C28" s="17"/>
      <c r="D28" s="2"/>
    </row>
    <row r="29" spans="1:4">
      <c r="A29" s="15" t="s">
        <v>23</v>
      </c>
      <c r="B29" s="16" t="s">
        <v>39</v>
      </c>
      <c r="C29" s="17"/>
      <c r="D29" s="2"/>
    </row>
    <row r="30" spans="1:4">
      <c r="A30" s="15" t="s">
        <v>25</v>
      </c>
      <c r="B30" s="16" t="s">
        <v>40</v>
      </c>
      <c r="C30" s="17"/>
      <c r="D30" s="2"/>
    </row>
    <row r="31" spans="1:4">
      <c r="A31" s="15" t="s">
        <v>13</v>
      </c>
      <c r="B31" s="16" t="s">
        <v>41</v>
      </c>
      <c r="C31" s="17"/>
      <c r="D31" s="2"/>
    </row>
    <row r="32" spans="1:4">
      <c r="A32" s="15" t="s">
        <v>15</v>
      </c>
      <c r="B32" s="16" t="s">
        <v>42</v>
      </c>
      <c r="C32" s="17"/>
      <c r="D32" s="2"/>
    </row>
    <row r="33" spans="1:4">
      <c r="A33" s="15" t="s">
        <v>17</v>
      </c>
      <c r="B33" s="16" t="s">
        <v>43</v>
      </c>
      <c r="C33" s="17" t="s">
        <v>44</v>
      </c>
      <c r="D33" s="2" t="s">
        <v>45</v>
      </c>
    </row>
    <row r="34" spans="1:4" ht="24">
      <c r="A34" s="15" t="s">
        <v>19</v>
      </c>
      <c r="B34" s="16" t="s">
        <v>46</v>
      </c>
      <c r="C34" s="17" t="s">
        <v>47</v>
      </c>
      <c r="D34" s="2" t="s">
        <v>48</v>
      </c>
    </row>
    <row r="35" spans="1:4">
      <c r="A35" s="15" t="s">
        <v>21</v>
      </c>
      <c r="B35" s="16" t="s">
        <v>49</v>
      </c>
      <c r="C35" s="17" t="s">
        <v>47</v>
      </c>
      <c r="D35" s="2" t="s">
        <v>50</v>
      </c>
    </row>
    <row r="36" spans="1:4" ht="24">
      <c r="A36" s="15" t="s">
        <v>23</v>
      </c>
      <c r="B36" s="16" t="s">
        <v>51</v>
      </c>
      <c r="C36" s="17" t="s">
        <v>47</v>
      </c>
      <c r="D36" s="2" t="s">
        <v>52</v>
      </c>
    </row>
    <row r="37" spans="1:4">
      <c r="A37" s="15" t="s">
        <v>25</v>
      </c>
      <c r="B37" s="16" t="s">
        <v>53</v>
      </c>
      <c r="C37" s="17" t="s">
        <v>54</v>
      </c>
      <c r="D37" s="2"/>
    </row>
    <row r="38" spans="1:4">
      <c r="A38" s="15" t="s">
        <v>13</v>
      </c>
      <c r="B38" s="16" t="s">
        <v>55</v>
      </c>
      <c r="C38" s="17" t="s">
        <v>54</v>
      </c>
      <c r="D38" s="2"/>
    </row>
    <row r="39" spans="1:4" ht="24">
      <c r="A39" s="15" t="s">
        <v>15</v>
      </c>
      <c r="B39" s="16" t="s">
        <v>56</v>
      </c>
      <c r="C39" s="17" t="s">
        <v>47</v>
      </c>
      <c r="D39" s="2" t="s">
        <v>57</v>
      </c>
    </row>
    <row r="40" spans="1:4">
      <c r="A40" s="15" t="s">
        <v>17</v>
      </c>
      <c r="B40" s="16" t="s">
        <v>58</v>
      </c>
      <c r="C40" s="17" t="s">
        <v>47</v>
      </c>
      <c r="D40" s="18" t="s">
        <v>59</v>
      </c>
    </row>
    <row r="41" spans="1:4">
      <c r="A41" s="1"/>
      <c r="B41" s="1"/>
      <c r="C41" s="1"/>
      <c r="D41" s="1"/>
    </row>
    <row r="42" spans="1:4">
      <c r="A42" s="1"/>
      <c r="B42" s="1"/>
      <c r="C42" s="1"/>
      <c r="D42" s="1"/>
    </row>
    <row r="43" spans="1:4">
      <c r="A43" s="1"/>
      <c r="B43" s="1"/>
      <c r="C43" s="1"/>
      <c r="D43" s="1"/>
    </row>
    <row r="44" spans="1:4">
      <c r="A44" s="1"/>
      <c r="B44" s="1"/>
      <c r="C44" s="1"/>
      <c r="D44" s="1"/>
    </row>
  </sheetData>
  <mergeCells count="1">
    <mergeCell ref="A1:D1"/>
  </mergeCells>
  <dataValidations count="1">
    <dataValidation type="list" allowBlank="1" showInputMessage="1" showErrorMessage="1" sqref="C10:C38" xr:uid="{0E9B443B-5686-41BD-88F2-116A60B6017B}">
      <formula1>"WFH,WFO,PTO,Half Day WFH,Half Day WFO,Weekend,Holiday"</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3D7F7-088F-47B1-A803-2B40AC7E7713}">
  <dimension ref="A1:D43"/>
  <sheetViews>
    <sheetView topLeftCell="A21" workbookViewId="0">
      <selection activeCell="C37" sqref="C37"/>
    </sheetView>
  </sheetViews>
  <sheetFormatPr defaultRowHeight="12.75"/>
  <cols>
    <col min="1" max="1" width="23" customWidth="1"/>
    <col min="2" max="2" width="25" customWidth="1"/>
    <col min="3" max="3" width="32.1640625" customWidth="1"/>
    <col min="4" max="4" width="88.33203125" style="21" customWidth="1"/>
  </cols>
  <sheetData>
    <row r="1" spans="1:4">
      <c r="A1" s="34" t="s">
        <v>60</v>
      </c>
      <c r="B1" s="35"/>
      <c r="C1" s="35"/>
      <c r="D1" s="36"/>
    </row>
    <row r="2" spans="1:4">
      <c r="A2" s="3"/>
      <c r="B2" s="4"/>
      <c r="C2" s="4"/>
      <c r="D2" s="20"/>
    </row>
    <row r="3" spans="1:4">
      <c r="A3" s="1"/>
      <c r="B3" s="5" t="s">
        <v>1</v>
      </c>
      <c r="C3" s="19">
        <f>C4+C5</f>
        <v>21</v>
      </c>
      <c r="D3" s="22"/>
    </row>
    <row r="4" spans="1:4">
      <c r="A4" s="1"/>
      <c r="B4" s="5" t="s">
        <v>2</v>
      </c>
      <c r="C4" s="19">
        <f>COUNTIF(C10:C39,"WFH")
+ COUNTIF(C10:C39,"WFO")
+ COUNTIF(C10:C39,"Half day WFO")*0.5
+ COUNTIF(C10:C39,"Half day WFH")*0.5</f>
        <v>20</v>
      </c>
      <c r="D4" s="22"/>
    </row>
    <row r="5" spans="1:4">
      <c r="A5" s="1"/>
      <c r="B5" s="5" t="s">
        <v>3</v>
      </c>
      <c r="C5" s="6">
        <f>COUNTIF(C10:C39,"PTO")
+ COUNTIF(C10:C39,"Half day WFO")*0.5
+ COUNTIF(C10:C39,"Half day WFH")*0.5</f>
        <v>1</v>
      </c>
      <c r="D5" s="22"/>
    </row>
    <row r="6" spans="1:4">
      <c r="A6" s="1"/>
      <c r="B6" s="5" t="s">
        <v>4</v>
      </c>
      <c r="C6" s="6">
        <f>COUNTIF($C10:$C34,"Holiday")</f>
        <v>1</v>
      </c>
      <c r="D6" s="22"/>
    </row>
    <row r="7" spans="1:4">
      <c r="A7" s="1"/>
      <c r="B7" s="1"/>
      <c r="C7" s="1"/>
      <c r="D7" s="22"/>
    </row>
    <row r="8" spans="1:4">
      <c r="A8" s="7" t="s">
        <v>5</v>
      </c>
      <c r="B8" s="8" t="s">
        <v>6</v>
      </c>
      <c r="C8" s="9" t="s">
        <v>7</v>
      </c>
      <c r="D8" s="23" t="s">
        <v>8</v>
      </c>
    </row>
    <row r="9" spans="1:4">
      <c r="A9" s="11" t="s">
        <v>9</v>
      </c>
      <c r="B9" s="12" t="s">
        <v>10</v>
      </c>
      <c r="C9" s="13" t="s">
        <v>11</v>
      </c>
      <c r="D9" s="24" t="s">
        <v>12</v>
      </c>
    </row>
    <row r="10" spans="1:4">
      <c r="A10" s="15" t="s">
        <v>19</v>
      </c>
      <c r="B10" s="16" t="s">
        <v>61</v>
      </c>
      <c r="C10" s="17" t="s">
        <v>47</v>
      </c>
      <c r="D10" s="2" t="s">
        <v>62</v>
      </c>
    </row>
    <row r="11" spans="1:4">
      <c r="A11" s="15" t="s">
        <v>21</v>
      </c>
      <c r="B11" s="16" t="s">
        <v>63</v>
      </c>
      <c r="C11" s="17" t="s">
        <v>47</v>
      </c>
      <c r="D11" s="2" t="s">
        <v>64</v>
      </c>
    </row>
    <row r="12" spans="1:4">
      <c r="A12" s="15" t="s">
        <v>23</v>
      </c>
      <c r="B12" s="16" t="s">
        <v>65</v>
      </c>
      <c r="C12" s="17" t="s">
        <v>66</v>
      </c>
      <c r="D12" s="2"/>
    </row>
    <row r="13" spans="1:4">
      <c r="A13" s="15" t="s">
        <v>25</v>
      </c>
      <c r="B13" s="16" t="s">
        <v>67</v>
      </c>
      <c r="C13" s="17" t="s">
        <v>54</v>
      </c>
      <c r="D13" s="2"/>
    </row>
    <row r="14" spans="1:4">
      <c r="A14" s="15" t="s">
        <v>13</v>
      </c>
      <c r="B14" s="16" t="s">
        <v>68</v>
      </c>
      <c r="C14" s="17" t="s">
        <v>54</v>
      </c>
      <c r="D14" s="2"/>
    </row>
    <row r="15" spans="1:4">
      <c r="A15" s="15" t="s">
        <v>15</v>
      </c>
      <c r="B15" s="16" t="s">
        <v>69</v>
      </c>
      <c r="C15" s="17" t="s">
        <v>47</v>
      </c>
      <c r="D15" s="2" t="s">
        <v>70</v>
      </c>
    </row>
    <row r="16" spans="1:4">
      <c r="A16" s="15" t="s">
        <v>17</v>
      </c>
      <c r="B16" s="16" t="s">
        <v>71</v>
      </c>
      <c r="C16" s="17" t="s">
        <v>44</v>
      </c>
      <c r="D16" s="2" t="s">
        <v>72</v>
      </c>
    </row>
    <row r="17" spans="1:4">
      <c r="A17" s="15" t="s">
        <v>19</v>
      </c>
      <c r="B17" s="16" t="s">
        <v>73</v>
      </c>
      <c r="C17" s="17" t="s">
        <v>44</v>
      </c>
      <c r="D17" s="2" t="s">
        <v>74</v>
      </c>
    </row>
    <row r="18" spans="1:4">
      <c r="A18" s="15" t="s">
        <v>21</v>
      </c>
      <c r="B18" s="16" t="s">
        <v>75</v>
      </c>
      <c r="C18" s="17" t="s">
        <v>47</v>
      </c>
      <c r="D18" s="2" t="s">
        <v>76</v>
      </c>
    </row>
    <row r="19" spans="1:4">
      <c r="A19" s="15" t="s">
        <v>23</v>
      </c>
      <c r="B19" s="16" t="s">
        <v>77</v>
      </c>
      <c r="C19" s="17" t="s">
        <v>47</v>
      </c>
      <c r="D19" s="2" t="s">
        <v>78</v>
      </c>
    </row>
    <row r="20" spans="1:4">
      <c r="A20" s="15" t="s">
        <v>25</v>
      </c>
      <c r="B20" s="16" t="s">
        <v>79</v>
      </c>
      <c r="C20" s="17" t="s">
        <v>54</v>
      </c>
      <c r="D20" s="2"/>
    </row>
    <row r="21" spans="1:4">
      <c r="A21" s="15" t="s">
        <v>13</v>
      </c>
      <c r="B21" s="16" t="s">
        <v>80</v>
      </c>
      <c r="C21" s="17" t="s">
        <v>54</v>
      </c>
      <c r="D21" s="2"/>
    </row>
    <row r="22" spans="1:4">
      <c r="A22" s="15" t="s">
        <v>15</v>
      </c>
      <c r="B22" s="16" t="s">
        <v>81</v>
      </c>
      <c r="C22" s="17" t="s">
        <v>47</v>
      </c>
      <c r="D22" s="2" t="s">
        <v>82</v>
      </c>
    </row>
    <row r="23" spans="1:4" ht="24">
      <c r="A23" s="15" t="s">
        <v>17</v>
      </c>
      <c r="B23" s="16" t="s">
        <v>83</v>
      </c>
      <c r="C23" s="17" t="s">
        <v>47</v>
      </c>
      <c r="D23" s="2" t="s">
        <v>84</v>
      </c>
    </row>
    <row r="24" spans="1:4">
      <c r="A24" s="15" t="s">
        <v>19</v>
      </c>
      <c r="B24" s="16" t="s">
        <v>85</v>
      </c>
      <c r="C24" s="17" t="s">
        <v>47</v>
      </c>
      <c r="D24" s="2" t="s">
        <v>86</v>
      </c>
    </row>
    <row r="25" spans="1:4" ht="36">
      <c r="A25" s="15" t="s">
        <v>21</v>
      </c>
      <c r="B25" s="16" t="s">
        <v>87</v>
      </c>
      <c r="C25" s="17" t="s">
        <v>47</v>
      </c>
      <c r="D25" s="2" t="s">
        <v>88</v>
      </c>
    </row>
    <row r="26" spans="1:4" ht="36">
      <c r="A26" s="15" t="s">
        <v>23</v>
      </c>
      <c r="B26" s="16" t="s">
        <v>89</v>
      </c>
      <c r="C26" s="17" t="s">
        <v>47</v>
      </c>
      <c r="D26" s="2" t="s">
        <v>90</v>
      </c>
    </row>
    <row r="27" spans="1:4">
      <c r="A27" s="15" t="s">
        <v>25</v>
      </c>
      <c r="B27" s="16" t="s">
        <v>91</v>
      </c>
      <c r="C27" s="17" t="s">
        <v>54</v>
      </c>
      <c r="D27" s="2"/>
    </row>
    <row r="28" spans="1:4">
      <c r="A28" s="15" t="s">
        <v>13</v>
      </c>
      <c r="B28" s="16" t="s">
        <v>92</v>
      </c>
      <c r="C28" s="17" t="s">
        <v>54</v>
      </c>
      <c r="D28" s="2"/>
    </row>
    <row r="29" spans="1:4" ht="24">
      <c r="A29" s="15" t="s">
        <v>15</v>
      </c>
      <c r="B29" s="16" t="s">
        <v>93</v>
      </c>
      <c r="C29" s="17" t="s">
        <v>47</v>
      </c>
      <c r="D29" s="2" t="s">
        <v>94</v>
      </c>
    </row>
    <row r="30" spans="1:4">
      <c r="A30" s="15" t="s">
        <v>17</v>
      </c>
      <c r="B30" s="16" t="s">
        <v>95</v>
      </c>
      <c r="C30" s="17" t="s">
        <v>47</v>
      </c>
      <c r="D30" s="2" t="s">
        <v>96</v>
      </c>
    </row>
    <row r="31" spans="1:4">
      <c r="A31" s="15" t="s">
        <v>19</v>
      </c>
      <c r="B31" s="16" t="s">
        <v>97</v>
      </c>
      <c r="C31" s="17" t="s">
        <v>47</v>
      </c>
      <c r="D31" s="2" t="s">
        <v>98</v>
      </c>
    </row>
    <row r="32" spans="1:4">
      <c r="A32" s="15" t="s">
        <v>21</v>
      </c>
      <c r="B32" s="16" t="s">
        <v>99</v>
      </c>
      <c r="C32" s="17" t="s">
        <v>47</v>
      </c>
      <c r="D32" s="2" t="s">
        <v>100</v>
      </c>
    </row>
    <row r="33" spans="1:4" ht="24">
      <c r="A33" s="15" t="s">
        <v>23</v>
      </c>
      <c r="B33" s="16" t="s">
        <v>101</v>
      </c>
      <c r="C33" s="17" t="s">
        <v>47</v>
      </c>
      <c r="D33" s="2" t="s">
        <v>102</v>
      </c>
    </row>
    <row r="34" spans="1:4">
      <c r="A34" s="15" t="s">
        <v>25</v>
      </c>
      <c r="B34" s="16" t="s">
        <v>103</v>
      </c>
      <c r="C34" s="17" t="s">
        <v>54</v>
      </c>
      <c r="D34" s="2"/>
    </row>
    <row r="35" spans="1:4">
      <c r="A35" s="15" t="s">
        <v>13</v>
      </c>
      <c r="B35" s="16" t="s">
        <v>104</v>
      </c>
      <c r="C35" s="17" t="s">
        <v>54</v>
      </c>
      <c r="D35" s="2"/>
    </row>
    <row r="36" spans="1:4">
      <c r="A36" s="15" t="s">
        <v>15</v>
      </c>
      <c r="B36" s="16" t="s">
        <v>105</v>
      </c>
      <c r="C36" s="17" t="s">
        <v>106</v>
      </c>
      <c r="D36" s="2" t="s">
        <v>107</v>
      </c>
    </row>
    <row r="37" spans="1:4" ht="36">
      <c r="A37" s="15" t="s">
        <v>17</v>
      </c>
      <c r="B37" s="16" t="s">
        <v>108</v>
      </c>
      <c r="C37" s="17" t="s">
        <v>47</v>
      </c>
      <c r="D37" s="2" t="s">
        <v>109</v>
      </c>
    </row>
    <row r="38" spans="1:4" ht="48">
      <c r="A38" s="15" t="s">
        <v>19</v>
      </c>
      <c r="B38" s="16" t="s">
        <v>110</v>
      </c>
      <c r="C38" s="17" t="s">
        <v>44</v>
      </c>
      <c r="D38" s="2" t="s">
        <v>111</v>
      </c>
    </row>
    <row r="39" spans="1:4" ht="24">
      <c r="A39" s="15" t="s">
        <v>21</v>
      </c>
      <c r="B39" s="16" t="s">
        <v>112</v>
      </c>
      <c r="C39" s="17" t="s">
        <v>47</v>
      </c>
      <c r="D39" s="2" t="s">
        <v>113</v>
      </c>
    </row>
    <row r="40" spans="1:4">
      <c r="A40" s="1"/>
      <c r="B40" s="1"/>
      <c r="C40" s="1"/>
      <c r="D40" s="22"/>
    </row>
    <row r="41" spans="1:4">
      <c r="A41" s="1"/>
      <c r="B41" s="1"/>
      <c r="C41" s="1"/>
      <c r="D41" s="22"/>
    </row>
    <row r="42" spans="1:4">
      <c r="A42" s="1"/>
      <c r="B42" s="1"/>
      <c r="C42" s="1"/>
      <c r="D42" s="22"/>
    </row>
    <row r="43" spans="1:4">
      <c r="A43" s="1"/>
      <c r="B43" s="1"/>
      <c r="C43" s="1"/>
      <c r="D43" s="22"/>
    </row>
  </sheetData>
  <mergeCells count="1">
    <mergeCell ref="A1:D1"/>
  </mergeCells>
  <dataValidations count="1">
    <dataValidation type="list" allowBlank="1" showInputMessage="1" showErrorMessage="1" sqref="C10:C39" xr:uid="{1EAC0618-31BD-4201-B6BF-B0581BF8597E}">
      <formula1>"WFH,WFO,PTO,Half Day WFH,Half Day WFO,Weekend,Holiday"</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DFF2-96E8-436F-8BDF-A815B67E9D3D}">
  <dimension ref="A1:D42"/>
  <sheetViews>
    <sheetView tabSelected="1" workbookViewId="0">
      <selection activeCell="C21" sqref="C21"/>
    </sheetView>
  </sheetViews>
  <sheetFormatPr defaultRowHeight="12.75"/>
  <cols>
    <col min="1" max="1" width="22" customWidth="1"/>
    <col min="2" max="2" width="26.33203125" customWidth="1"/>
    <col min="3" max="3" width="25.83203125" bestFit="1" customWidth="1"/>
    <col min="4" max="4" width="55.83203125" style="21" customWidth="1"/>
  </cols>
  <sheetData>
    <row r="1" spans="1:4">
      <c r="A1" s="34" t="s">
        <v>114</v>
      </c>
      <c r="B1" s="35"/>
      <c r="C1" s="35"/>
      <c r="D1" s="36"/>
    </row>
    <row r="2" spans="1:4">
      <c r="A2" s="3"/>
      <c r="B2" s="4"/>
      <c r="C2" s="4"/>
      <c r="D2" s="20"/>
    </row>
    <row r="3" spans="1:4">
      <c r="A3" s="1"/>
      <c r="B3" s="5" t="s">
        <v>1</v>
      </c>
      <c r="C3" s="6">
        <v>21</v>
      </c>
      <c r="D3" s="25"/>
    </row>
    <row r="4" spans="1:4">
      <c r="A4" s="1"/>
      <c r="B4" s="5" t="s">
        <v>2</v>
      </c>
      <c r="C4" s="26">
        <f>COUNTIF(C10:C42,"WFH")
+ COUNTIF(C10:C42,"WFO")
+ COUNTIF(C10:C42,"Half day WFO")*0.5
+ COUNTIF(C10:C42,"Half day WFH")*0.5</f>
        <v>7</v>
      </c>
      <c r="D4" s="25"/>
    </row>
    <row r="5" spans="1:4">
      <c r="A5" s="1"/>
      <c r="B5" s="5" t="s">
        <v>3</v>
      </c>
      <c r="C5" s="6">
        <f>COUNTIF(C10:C37,"PTO")
+ COUNTIF(C10:C37,"Half day WFO")*0.5
+ COUNTIF(C10:C37,"Half day WFH")*0.5</f>
        <v>0</v>
      </c>
      <c r="D5" s="25"/>
    </row>
    <row r="6" spans="1:4">
      <c r="A6" s="1"/>
      <c r="B6" s="5" t="s">
        <v>4</v>
      </c>
      <c r="C6" s="27">
        <f>COUNTIF($C10:$C42,"Holiday")</f>
        <v>1</v>
      </c>
      <c r="D6" s="25"/>
    </row>
    <row r="7" spans="1:4">
      <c r="A7" s="1"/>
      <c r="B7" s="1"/>
      <c r="C7" s="1"/>
      <c r="D7" s="25"/>
    </row>
    <row r="8" spans="1:4">
      <c r="A8" s="7" t="s">
        <v>5</v>
      </c>
      <c r="B8" s="8" t="s">
        <v>6</v>
      </c>
      <c r="C8" s="9" t="s">
        <v>7</v>
      </c>
      <c r="D8" s="28" t="s">
        <v>115</v>
      </c>
    </row>
    <row r="9" spans="1:4">
      <c r="A9" s="11" t="s">
        <v>9</v>
      </c>
      <c r="B9" s="12" t="s">
        <v>10</v>
      </c>
      <c r="C9" s="13" t="s">
        <v>11</v>
      </c>
      <c r="D9" s="14" t="s">
        <v>12</v>
      </c>
    </row>
    <row r="10" spans="1:4">
      <c r="A10" s="15" t="s">
        <v>23</v>
      </c>
      <c r="B10" s="16">
        <v>46143</v>
      </c>
      <c r="C10" s="17" t="s">
        <v>66</v>
      </c>
      <c r="D10" s="2"/>
    </row>
    <row r="11" spans="1:4">
      <c r="A11" s="15" t="s">
        <v>25</v>
      </c>
      <c r="B11" s="16">
        <v>46144</v>
      </c>
      <c r="C11" s="17" t="s">
        <v>54</v>
      </c>
      <c r="D11" s="2"/>
    </row>
    <row r="12" spans="1:4">
      <c r="A12" s="15" t="s">
        <v>13</v>
      </c>
      <c r="B12" s="16">
        <v>46145</v>
      </c>
      <c r="C12" s="17" t="s">
        <v>54</v>
      </c>
      <c r="D12" s="2"/>
    </row>
    <row r="13" spans="1:4" ht="24">
      <c r="A13" s="15" t="s">
        <v>15</v>
      </c>
      <c r="B13" s="16">
        <v>46146</v>
      </c>
      <c r="C13" s="17" t="s">
        <v>47</v>
      </c>
      <c r="D13" s="2" t="s">
        <v>116</v>
      </c>
    </row>
    <row r="14" spans="1:4" ht="48">
      <c r="A14" s="15" t="s">
        <v>17</v>
      </c>
      <c r="B14" s="16">
        <v>46147</v>
      </c>
      <c r="C14" s="17" t="s">
        <v>44</v>
      </c>
      <c r="D14" s="2" t="s">
        <v>117</v>
      </c>
    </row>
    <row r="15" spans="1:4" ht="48">
      <c r="A15" s="15" t="s">
        <v>19</v>
      </c>
      <c r="B15" s="16">
        <v>46148</v>
      </c>
      <c r="C15" s="17" t="s">
        <v>44</v>
      </c>
      <c r="D15" s="2" t="s">
        <v>117</v>
      </c>
    </row>
    <row r="16" spans="1:4">
      <c r="A16" s="15" t="s">
        <v>21</v>
      </c>
      <c r="B16" s="16">
        <v>46149</v>
      </c>
      <c r="C16" s="17" t="s">
        <v>47</v>
      </c>
      <c r="D16" s="2" t="s">
        <v>118</v>
      </c>
    </row>
    <row r="17" spans="1:4" ht="24">
      <c r="A17" s="15" t="s">
        <v>23</v>
      </c>
      <c r="B17" s="16">
        <v>46150</v>
      </c>
      <c r="C17" s="17" t="s">
        <v>47</v>
      </c>
      <c r="D17" s="2" t="s">
        <v>119</v>
      </c>
    </row>
    <row r="18" spans="1:4">
      <c r="A18" s="15" t="s">
        <v>25</v>
      </c>
      <c r="B18" s="16">
        <v>46151</v>
      </c>
      <c r="C18" s="17" t="s">
        <v>54</v>
      </c>
      <c r="D18" s="2"/>
    </row>
    <row r="19" spans="1:4">
      <c r="A19" s="15" t="s">
        <v>13</v>
      </c>
      <c r="B19" s="16">
        <v>46152</v>
      </c>
      <c r="C19" s="17" t="s">
        <v>54</v>
      </c>
      <c r="D19" s="2"/>
    </row>
    <row r="20" spans="1:4" ht="24">
      <c r="A20" s="15" t="s">
        <v>15</v>
      </c>
      <c r="B20" s="16">
        <v>46153</v>
      </c>
      <c r="C20" s="17" t="s">
        <v>47</v>
      </c>
      <c r="D20" s="2" t="s">
        <v>120</v>
      </c>
    </row>
    <row r="21" spans="1:4" ht="24">
      <c r="A21" s="15" t="s">
        <v>17</v>
      </c>
      <c r="B21" s="16">
        <v>46154</v>
      </c>
      <c r="C21" s="17" t="s">
        <v>47</v>
      </c>
      <c r="D21" s="33" t="s">
        <v>121</v>
      </c>
    </row>
    <row r="22" spans="1:4">
      <c r="A22" s="15" t="s">
        <v>19</v>
      </c>
      <c r="B22" s="16">
        <v>46155</v>
      </c>
      <c r="C22" s="17"/>
      <c r="D22" s="2"/>
    </row>
    <row r="23" spans="1:4">
      <c r="A23" s="15" t="s">
        <v>21</v>
      </c>
      <c r="B23" s="16">
        <v>46156</v>
      </c>
      <c r="C23" s="17"/>
      <c r="D23" s="2"/>
    </row>
    <row r="24" spans="1:4">
      <c r="A24" s="15" t="s">
        <v>23</v>
      </c>
      <c r="B24" s="16">
        <v>46157</v>
      </c>
      <c r="C24" s="17"/>
      <c r="D24" s="2"/>
    </row>
    <row r="25" spans="1:4">
      <c r="A25" s="15" t="s">
        <v>25</v>
      </c>
      <c r="B25" s="16">
        <v>46158</v>
      </c>
      <c r="C25" s="17"/>
      <c r="D25" s="2"/>
    </row>
    <row r="26" spans="1:4">
      <c r="A26" s="15" t="s">
        <v>13</v>
      </c>
      <c r="B26" s="16">
        <v>46159</v>
      </c>
      <c r="C26" s="17"/>
      <c r="D26" s="2"/>
    </row>
    <row r="27" spans="1:4">
      <c r="A27" s="15" t="s">
        <v>15</v>
      </c>
      <c r="B27" s="16">
        <v>46160</v>
      </c>
      <c r="C27" s="17"/>
      <c r="D27" s="2"/>
    </row>
    <row r="28" spans="1:4">
      <c r="A28" s="15" t="s">
        <v>17</v>
      </c>
      <c r="B28" s="16">
        <v>46161</v>
      </c>
      <c r="C28" s="17"/>
      <c r="D28" s="2"/>
    </row>
    <row r="29" spans="1:4">
      <c r="A29" s="15" t="s">
        <v>19</v>
      </c>
      <c r="B29" s="16">
        <v>46162</v>
      </c>
      <c r="C29" s="17"/>
      <c r="D29" s="2"/>
    </row>
    <row r="30" spans="1:4">
      <c r="A30" s="15" t="s">
        <v>21</v>
      </c>
      <c r="B30" s="16">
        <v>46163</v>
      </c>
      <c r="C30" s="17"/>
      <c r="D30" s="2"/>
    </row>
    <row r="31" spans="1:4">
      <c r="A31" s="15" t="s">
        <v>23</v>
      </c>
      <c r="B31" s="16">
        <v>46164</v>
      </c>
      <c r="C31" s="17"/>
      <c r="D31" s="2"/>
    </row>
    <row r="32" spans="1:4">
      <c r="A32" s="15" t="s">
        <v>25</v>
      </c>
      <c r="B32" s="16">
        <v>46165</v>
      </c>
      <c r="C32" s="17"/>
      <c r="D32" s="2"/>
    </row>
    <row r="33" spans="1:4">
      <c r="A33" s="15" t="s">
        <v>13</v>
      </c>
      <c r="B33" s="16">
        <v>46166</v>
      </c>
      <c r="C33" s="17"/>
      <c r="D33" s="2"/>
    </row>
    <row r="34" spans="1:4">
      <c r="A34" s="15" t="s">
        <v>15</v>
      </c>
      <c r="B34" s="16">
        <v>46167</v>
      </c>
      <c r="C34" s="17"/>
      <c r="D34" s="2"/>
    </row>
    <row r="35" spans="1:4">
      <c r="A35" s="15" t="s">
        <v>17</v>
      </c>
      <c r="B35" s="16">
        <v>46168</v>
      </c>
      <c r="C35" s="17"/>
      <c r="D35" s="2"/>
    </row>
    <row r="36" spans="1:4">
      <c r="A36" s="15" t="s">
        <v>19</v>
      </c>
      <c r="B36" s="16">
        <v>46169</v>
      </c>
      <c r="C36" s="17"/>
      <c r="D36" s="2"/>
    </row>
    <row r="37" spans="1:4">
      <c r="A37" s="15" t="s">
        <v>21</v>
      </c>
      <c r="B37" s="16">
        <v>46170</v>
      </c>
      <c r="C37" s="17"/>
      <c r="D37" s="2"/>
    </row>
    <row r="38" spans="1:4">
      <c r="A38" s="15" t="s">
        <v>23</v>
      </c>
      <c r="B38" s="16">
        <v>46171</v>
      </c>
      <c r="C38" s="17"/>
      <c r="D38" s="2"/>
    </row>
    <row r="39" spans="1:4">
      <c r="A39" s="15" t="s">
        <v>25</v>
      </c>
      <c r="B39" s="16">
        <v>46172</v>
      </c>
      <c r="C39" s="17"/>
      <c r="D39" s="2"/>
    </row>
    <row r="40" spans="1:4">
      <c r="A40" s="15" t="s">
        <v>13</v>
      </c>
      <c r="B40" s="16">
        <v>46173</v>
      </c>
      <c r="C40" s="17"/>
      <c r="D40" s="29"/>
    </row>
    <row r="41" spans="1:4">
      <c r="A41" s="30"/>
      <c r="B41" s="16"/>
      <c r="C41" s="31"/>
      <c r="D41" s="32"/>
    </row>
    <row r="42" spans="1:4">
      <c r="A42" s="30"/>
      <c r="B42" s="16"/>
      <c r="C42" s="31"/>
      <c r="D42" s="32"/>
    </row>
  </sheetData>
  <mergeCells count="1">
    <mergeCell ref="A1:D1"/>
  </mergeCells>
  <dataValidations count="1">
    <dataValidation type="list" allowBlank="1" showInputMessage="1" showErrorMessage="1" sqref="C10:C37" xr:uid="{565608B9-F844-4CEF-A41C-275CA8E53D7F}">
      <formula1>"WFH,WFO,PTO,Half Day WFH,Half Day WFO,Weekend,Holiday"</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D274CC8D59CC4C8CBE47B2C0C77D83" ma:contentTypeVersion="11" ma:contentTypeDescription="Create a new document." ma:contentTypeScope="" ma:versionID="c948fc8d7ee822eb94f85d2d055f13b6">
  <xsd:schema xmlns:xsd="http://www.w3.org/2001/XMLSchema" xmlns:xs="http://www.w3.org/2001/XMLSchema" xmlns:p="http://schemas.microsoft.com/office/2006/metadata/properties" xmlns:ns2="d27bb70e-de8f-4c3f-9442-87c78ace43de" xmlns:ns3="53c15702-16c1-41e9-9b17-32acff6d6d4d" targetNamespace="http://schemas.microsoft.com/office/2006/metadata/properties" ma:root="true" ma:fieldsID="18ce52863566066c1b8acd533c0dc397" ns2:_="" ns3:_="">
    <xsd:import namespace="d27bb70e-de8f-4c3f-9442-87c78ace43de"/>
    <xsd:import namespace="53c15702-16c1-41e9-9b17-32acff6d6d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bb70e-de8f-4c3f-9442-87c78ace43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a9204c-01b0-48f1-97ac-c12370e2aa3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3c15702-16c1-41e9-9b17-32acff6d6d4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3257b2-2dda-4559-9129-29a6f552ad5a}" ma:internalName="TaxCatchAll" ma:showField="CatchAllData" ma:web="53c15702-16c1-41e9-9b17-32acff6d6d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3c15702-16c1-41e9-9b17-32acff6d6d4d" xsi:nil="true"/>
    <lcf76f155ced4ddcb4097134ff3c332f xmlns="d27bb70e-de8f-4c3f-9442-87c78ace43d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CDF9E3-5D16-4824-BC69-421717C2D38A}"/>
</file>

<file path=customXml/itemProps2.xml><?xml version="1.0" encoding="utf-8"?>
<ds:datastoreItem xmlns:ds="http://schemas.openxmlformats.org/officeDocument/2006/customXml" ds:itemID="{9642409B-CA8E-45A3-9049-ED6584EF7887}"/>
</file>

<file path=customXml/itemProps3.xml><?xml version="1.0" encoding="utf-8"?>
<ds:datastoreItem xmlns:ds="http://schemas.openxmlformats.org/officeDocument/2006/customXml" ds:itemID="{B606C6C9-A6EC-4849-951A-40FE3199CE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Benison-Rafi</dc:creator>
  <cp:keywords/>
  <dc:description/>
  <cp:lastModifiedBy/>
  <cp:revision/>
  <dcterms:created xsi:type="dcterms:W3CDTF">2020-07-05T06:32:00Z</dcterms:created>
  <dcterms:modified xsi:type="dcterms:W3CDTF">2026-05-18T06:36:29Z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1033-11.2.0.10094</vt:lpwstr>
  </property>
  <property fmtid="{D5CDD505-2E9C-101B-9397-08002B2CF9AE}" pid="3" name="ContentTypeId">
    <vt:lpwstr>0x010100D7D274CC8D59CC4C8CBE47B2C0C77D83</vt:lpwstr>
  </property>
  <property fmtid="{D5CDD505-2E9C-101B-9397-08002B2CF9AE}" pid="4" name="Order">
    <vt:r8>12000</vt:r8>
  </property>
  <property fmtid="{D5CDD505-2E9C-101B-9397-08002B2CF9AE}" pid="5" name="xd_Signature">
    <vt:bool>false</vt:bool>
  </property>
  <property fmtid="{D5CDD505-2E9C-101B-9397-08002B2CF9AE}" pid="6" name="SharedWithUsers">
    <vt:lpwstr>96;#Manoj Kumar;#102;#Vishnuvardhan M</vt:lpwstr>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MediaServiceImageTags">
    <vt:lpwstr/>
  </property>
</Properties>
</file>